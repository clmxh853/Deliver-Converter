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Coding\ClaudeCode\ConfProjectV2\"/>
    </mc:Choice>
  </mc:AlternateContent>
  <xr:revisionPtr revIDLastSave="0" documentId="13_ncr:1_{353F19A9-55DC-4351-96C1-E41C62E8AFED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emplate" sheetId="1" r:id="rId1"/>
    <sheet name="TBLT" sheetId="6" r:id="rId2"/>
    <sheet name="Beneficiary_Account" sheetId="4" state="hidden" r:id="rId3"/>
    <sheet name="Debit_Account" sheetId="2" r:id="rId4"/>
    <sheet name="Ticker" sheetId="3" r:id="rId5"/>
  </sheets>
  <definedNames>
    <definedName name="_xlnm._FilterDatabase" localSheetId="0" hidden="1">Template!$M$7:$N$9</definedName>
    <definedName name="Bankcomm">Ticker!$B$2:$B$6</definedName>
    <definedName name="CCBA">Ticker!$C$2:$C$8</definedName>
    <definedName name="Chop1">Template!$C$44</definedName>
    <definedName name="CMB">Ticker!$D$2:$D$3</definedName>
    <definedName name="HSBC">Ticker!$G$2</definedName>
    <definedName name="ICBC_Mandate">Ticker!$E$2:$E$8</definedName>
    <definedName name="ICBC_Others">Ticker!$F$2:$F$4</definedName>
    <definedName name="_xlnm.Print_Area" localSheetId="0">Template!$B$1:$I$46</definedName>
    <definedName name="Signer1">Template!$B$42</definedName>
    <definedName name="Signer2">Template!$D$42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" l="1"/>
  <c r="D28" i="1"/>
  <c r="D27" i="1"/>
  <c r="D26" i="1"/>
  <c r="D25" i="1"/>
  <c r="D23" i="1"/>
  <c r="D22" i="1"/>
  <c r="D21" i="1"/>
  <c r="D20" i="1"/>
  <c r="D24" i="1" s="1"/>
  <c r="D30" i="1" s="1"/>
  <c r="D14" i="1"/>
  <c r="D15" i="1" l="1"/>
  <c r="D16" i="1" s="1"/>
  <c r="D31" i="1"/>
  <c r="I9" i="1" l="1"/>
  <c r="C5" i="4" l="1"/>
  <c r="C4" i="4"/>
  <c r="C3" i="4"/>
  <c r="C2" i="4"/>
</calcChain>
</file>

<file path=xl/sharedStrings.xml><?xml version="1.0" encoding="utf-8"?>
<sst xmlns="http://schemas.openxmlformats.org/spreadsheetml/2006/main" count="315" uniqueCount="212">
  <si>
    <t>Fax No:</t>
  </si>
  <si>
    <t>To:</t>
  </si>
  <si>
    <t>Date:</t>
    <phoneticPr fontId="1" type="noConversion"/>
  </si>
  <si>
    <t>Currency:</t>
    <phoneticPr fontId="1" type="noConversion"/>
  </si>
  <si>
    <t>Beneficiary Account No.:</t>
    <phoneticPr fontId="1" type="noConversion"/>
  </si>
  <si>
    <t>Signed for and on behalf of:</t>
  </si>
  <si>
    <t>Authorized Signatory</t>
  </si>
  <si>
    <t xml:space="preserve">___________________________ </t>
    <phoneticPr fontId="1" type="noConversion"/>
  </si>
  <si>
    <t>Custodian</t>
    <phoneticPr fontId="1" type="noConversion"/>
  </si>
  <si>
    <t>Account Ticker</t>
    <phoneticPr fontId="1" type="noConversion"/>
  </si>
  <si>
    <t>Bankcomm</t>
  </si>
  <si>
    <t>CMB</t>
  </si>
  <si>
    <t>Custodian</t>
    <phoneticPr fontId="1" type="noConversion"/>
  </si>
  <si>
    <t>Bankcomm</t>
    <phoneticPr fontId="1" type="noConversion"/>
  </si>
  <si>
    <t>CCB</t>
    <phoneticPr fontId="1" type="noConversion"/>
  </si>
  <si>
    <t>CMB</t>
    <phoneticPr fontId="1" type="noConversion"/>
  </si>
  <si>
    <t>ICBC Mandate</t>
    <phoneticPr fontId="1" type="noConversion"/>
  </si>
  <si>
    <t>ICBC Others</t>
    <phoneticPr fontId="1" type="noConversion"/>
  </si>
  <si>
    <t>USD</t>
    <phoneticPr fontId="1" type="noConversion"/>
  </si>
  <si>
    <t>Currency</t>
    <phoneticPr fontId="1" type="noConversion"/>
  </si>
  <si>
    <t>HKD</t>
    <phoneticPr fontId="1" type="noConversion"/>
  </si>
  <si>
    <t>CNY</t>
    <phoneticPr fontId="1" type="noConversion"/>
  </si>
  <si>
    <t>ICBC_Mandate</t>
    <phoneticPr fontId="1" type="noConversion"/>
  </si>
  <si>
    <t>ICBC_Others</t>
    <phoneticPr fontId="1" type="noConversion"/>
  </si>
  <si>
    <t>Account No.:</t>
    <phoneticPr fontId="1" type="noConversion"/>
  </si>
  <si>
    <t>Account Name</t>
    <phoneticPr fontId="1" type="noConversion"/>
  </si>
  <si>
    <t>Fax Number</t>
    <phoneticPr fontId="1" type="noConversion"/>
  </si>
  <si>
    <t>To:</t>
    <phoneticPr fontId="1" type="noConversion"/>
  </si>
  <si>
    <t>Counterparty</t>
    <phoneticPr fontId="1" type="noConversion"/>
  </si>
  <si>
    <t>Purpose</t>
    <phoneticPr fontId="1" type="noConversion"/>
  </si>
  <si>
    <t>Beneficiary Bank Name:</t>
    <phoneticPr fontId="1" type="noConversion"/>
  </si>
  <si>
    <t>SWIFT Code:</t>
    <phoneticPr fontId="1" type="noConversion"/>
  </si>
  <si>
    <t>Beneficiary Account Name:</t>
    <phoneticPr fontId="1" type="noConversion"/>
  </si>
  <si>
    <t>Beneficiary Account No.:</t>
    <phoneticPr fontId="1" type="noConversion"/>
  </si>
  <si>
    <t>ANZ</t>
    <phoneticPr fontId="1" type="noConversion"/>
  </si>
  <si>
    <t>Pairoff</t>
    <phoneticPr fontId="1" type="noConversion"/>
  </si>
  <si>
    <t>JPMORGAN CHASE BANK, NEW YORK (CHASUS33)</t>
    <phoneticPr fontId="1" type="noConversion"/>
  </si>
  <si>
    <t>ANZBAU3M</t>
    <phoneticPr fontId="1" type="noConversion"/>
  </si>
  <si>
    <t>ANZ BANKING GROUP LIMITED, MELBOURNE'S ACCOUNT</t>
    <phoneticPr fontId="1" type="noConversion"/>
  </si>
  <si>
    <t>0011910601</t>
    <phoneticPr fontId="1" type="noConversion"/>
  </si>
  <si>
    <t>Beneficiary</t>
    <phoneticPr fontId="1" type="noConversion"/>
  </si>
  <si>
    <t>ANZ</t>
    <phoneticPr fontId="1" type="noConversion"/>
  </si>
  <si>
    <t>Pairoff</t>
    <phoneticPr fontId="1" type="noConversion"/>
  </si>
  <si>
    <t>CITI</t>
    <phoneticPr fontId="1" type="noConversion"/>
  </si>
  <si>
    <t>BNP</t>
    <phoneticPr fontId="1" type="noConversion"/>
  </si>
  <si>
    <t>CS</t>
    <phoneticPr fontId="1" type="noConversion"/>
  </si>
  <si>
    <t>KGI</t>
    <phoneticPr fontId="1" type="noConversion"/>
  </si>
  <si>
    <t>MS</t>
    <phoneticPr fontId="1" type="noConversion"/>
  </si>
  <si>
    <t>JPM</t>
    <phoneticPr fontId="1" type="noConversion"/>
  </si>
  <si>
    <t>Ticker</t>
    <phoneticPr fontId="1" type="noConversion"/>
  </si>
  <si>
    <t>CHIPS UID 004966(ABA 021000021)</t>
  </si>
  <si>
    <t>To:</t>
    <phoneticPr fontId="1" type="noConversion"/>
  </si>
  <si>
    <t>JPMORGAN CHASE BANK, NEW YORK (CHASUS33)</t>
  </si>
  <si>
    <t>ANZBGB2L</t>
  </si>
  <si>
    <t>Australia &amp; New Zealand Banking Group Ltd London</t>
  </si>
  <si>
    <t>400928752</t>
    <phoneticPr fontId="1" type="noConversion"/>
  </si>
  <si>
    <t>Forward_Margin</t>
  </si>
  <si>
    <t>Forward_Margin</t>
    <phoneticPr fontId="1" type="noConversion"/>
  </si>
  <si>
    <t>Repo_Margin</t>
    <phoneticPr fontId="1" type="noConversion"/>
  </si>
  <si>
    <t>ANZ</t>
    <phoneticPr fontId="1" type="noConversion"/>
  </si>
  <si>
    <t>BNP</t>
    <phoneticPr fontId="1" type="noConversion"/>
  </si>
  <si>
    <t>BNP Paribas, New York</t>
  </si>
  <si>
    <t>BNPAUS3N</t>
  </si>
  <si>
    <t>BNP Paribas SA, PARIS(BNPAFRPPXXX)</t>
  </si>
  <si>
    <t>20019409300136</t>
    <phoneticPr fontId="1" type="noConversion"/>
  </si>
  <si>
    <t>Fed ABA 026007689</t>
    <phoneticPr fontId="1" type="noConversion"/>
  </si>
  <si>
    <t>USD</t>
  </si>
  <si>
    <t>HKGCLF</t>
    <phoneticPr fontId="1" type="noConversion"/>
  </si>
  <si>
    <t>HKGBF</t>
    <phoneticPr fontId="1" type="noConversion"/>
  </si>
  <si>
    <t>RF_CEDF</t>
  </si>
  <si>
    <t>HKMMF</t>
    <phoneticPr fontId="1" type="noConversion"/>
  </si>
  <si>
    <t>HKHYBF</t>
    <phoneticPr fontId="1" type="noConversion"/>
  </si>
  <si>
    <t>HKHKDMMF</t>
    <phoneticPr fontId="1" type="noConversion"/>
  </si>
  <si>
    <t>CCBA</t>
    <phoneticPr fontId="1" type="noConversion"/>
  </si>
  <si>
    <t>Feeder LP</t>
    <phoneticPr fontId="1" type="noConversion"/>
  </si>
  <si>
    <t>Attention to:</t>
  </si>
  <si>
    <t>RQFII</t>
    <phoneticPr fontId="1" type="noConversion"/>
  </si>
  <si>
    <t>CMTOP20</t>
    <phoneticPr fontId="1" type="noConversion"/>
  </si>
  <si>
    <t>CSMSCAP</t>
    <phoneticPr fontId="1" type="noConversion"/>
  </si>
  <si>
    <t>CMOAF2</t>
    <phoneticPr fontId="1" type="noConversion"/>
  </si>
  <si>
    <t>CMSOFI</t>
    <phoneticPr fontId="1" type="noConversion"/>
  </si>
  <si>
    <t>HKCABCOM</t>
    <phoneticPr fontId="1" type="noConversion"/>
  </si>
  <si>
    <t>HKCASHBK</t>
  </si>
  <si>
    <t>HKCACNRE</t>
  </si>
  <si>
    <t>HKCAEF</t>
  </si>
  <si>
    <t>HKCAICBC</t>
  </si>
  <si>
    <t>HKCASAIC</t>
  </si>
  <si>
    <t>HKCASAI2</t>
  </si>
  <si>
    <t>HKCABKSH</t>
  </si>
  <si>
    <t>Fund Name</t>
    <phoneticPr fontId="1" type="noConversion"/>
  </si>
  <si>
    <t>Bank and Branch Code:</t>
  </si>
  <si>
    <t>HSBC</t>
  </si>
  <si>
    <t>ETF-CSI100</t>
  </si>
  <si>
    <t>Correspond Bank Name:</t>
  </si>
  <si>
    <t>Correspond Bank Account No. :</t>
  </si>
  <si>
    <t>RQFII (CITI)</t>
  </si>
  <si>
    <t>HKSDBF</t>
  </si>
  <si>
    <t>CMYCCSOL</t>
  </si>
  <si>
    <t>HKCASAI3</t>
  </si>
  <si>
    <t>Repo Confirmation Template</t>
    <phoneticPr fontId="1" type="noConversion"/>
  </si>
  <si>
    <t>Counterparty Info:</t>
    <phoneticPr fontId="1" type="noConversion"/>
  </si>
  <si>
    <t>We hereby agree with the following trade menomics</t>
    <phoneticPr fontId="1" type="noConversion"/>
  </si>
  <si>
    <t>Trade Date:</t>
    <phoneticPr fontId="1" type="noConversion"/>
  </si>
  <si>
    <t>Settlement Date:</t>
    <phoneticPr fontId="1" type="noConversion"/>
  </si>
  <si>
    <t>Settlement Instruction</t>
    <phoneticPr fontId="1" type="noConversion"/>
  </si>
  <si>
    <t>ISIN:</t>
    <phoneticPr fontId="1" type="noConversion"/>
  </si>
  <si>
    <t>Closing Date:</t>
    <phoneticPr fontId="1" type="noConversion"/>
  </si>
  <si>
    <t>Quantity:</t>
    <phoneticPr fontId="1" type="noConversion"/>
  </si>
  <si>
    <t>Repo rate</t>
    <phoneticPr fontId="1" type="noConversion"/>
  </si>
  <si>
    <t>Accrued Interest:</t>
    <phoneticPr fontId="1" type="noConversion"/>
  </si>
  <si>
    <t>Net Settlement Amount:</t>
    <phoneticPr fontId="1" type="noConversion"/>
  </si>
  <si>
    <t>OPEN Settlement Amount:</t>
    <phoneticPr fontId="1" type="noConversion"/>
  </si>
  <si>
    <t>Client Account Ref:</t>
    <phoneticPr fontId="1" type="noConversion"/>
  </si>
  <si>
    <t>Security</t>
  </si>
  <si>
    <t>ISIN Number</t>
  </si>
  <si>
    <t>Broker ID</t>
  </si>
  <si>
    <t>Account Name</t>
  </si>
  <si>
    <t>Buy/Sell</t>
  </si>
  <si>
    <t>Trade price</t>
  </si>
  <si>
    <t>Trade Date</t>
  </si>
  <si>
    <t>As of Date</t>
  </si>
  <si>
    <t>Settlement Date</t>
  </si>
  <si>
    <t>Blotter Transaction Type</t>
  </si>
  <si>
    <t>Amount (Pennies)</t>
  </si>
  <si>
    <t>Accrued Interest</t>
  </si>
  <si>
    <t>Settlement Amount</t>
  </si>
  <si>
    <t>Ticket Number</t>
  </si>
  <si>
    <t>Currency</t>
  </si>
  <si>
    <t>Repo Termination Date</t>
  </si>
  <si>
    <t>Repo Rate</t>
  </si>
  <si>
    <t>Short Note 1</t>
  </si>
  <si>
    <t>Repurchase Agreement Term Type</t>
  </si>
  <si>
    <t>Full Net Amount</t>
  </si>
  <si>
    <t>Matched?</t>
    <phoneticPr fontId="0" type="noConversion"/>
  </si>
  <si>
    <t>Omego?/New Issue?</t>
    <phoneticPr fontId="0" type="noConversion"/>
  </si>
  <si>
    <t>Bond?</t>
    <phoneticPr fontId="0" type="noConversion"/>
  </si>
  <si>
    <t>Fund?</t>
    <phoneticPr fontId="0" type="noConversion"/>
  </si>
  <si>
    <t>Future?</t>
    <phoneticPr fontId="0" type="noConversion"/>
  </si>
  <si>
    <t>Forward?</t>
    <phoneticPr fontId="0" type="noConversion"/>
  </si>
  <si>
    <t>Pairoff?</t>
    <phoneticPr fontId="0" type="noConversion"/>
  </si>
  <si>
    <t>Duplicated?</t>
    <phoneticPr fontId="0" type="noConversion"/>
  </si>
  <si>
    <t>FX?</t>
  </si>
  <si>
    <t>S</t>
  </si>
  <si>
    <t>12/12/2025</t>
  </si>
  <si>
    <t>12/11/2025</t>
  </si>
  <si>
    <t>RT</t>
  </si>
  <si>
    <t>3471704</t>
  </si>
  <si>
    <t>Open</t>
  </si>
  <si>
    <t>Y</t>
  </si>
  <si>
    <t>N</t>
  </si>
  <si>
    <t>10/30/2025</t>
  </si>
  <si>
    <t>10/31/2025</t>
  </si>
  <si>
    <t>CR</t>
  </si>
  <si>
    <t>3469347</t>
  </si>
  <si>
    <t>Close</t>
  </si>
  <si>
    <t>3469951</t>
  </si>
  <si>
    <t>12/01/2025</t>
  </si>
  <si>
    <t>12/02/2025</t>
  </si>
  <si>
    <t>3469026</t>
  </si>
  <si>
    <t>3469729</t>
  </si>
  <si>
    <t>01/30/2026</t>
  </si>
  <si>
    <t>Term</t>
  </si>
  <si>
    <t>11/27/2025</t>
  </si>
  <si>
    <t>11/26/2025</t>
  </si>
  <si>
    <t>11/28/2025</t>
  </si>
  <si>
    <t>3432619</t>
  </si>
  <si>
    <t>3432615</t>
  </si>
  <si>
    <t>11/19/2025</t>
  </si>
  <si>
    <t>11/21/2025</t>
  </si>
  <si>
    <t>3468512</t>
  </si>
  <si>
    <t>3468506</t>
  </si>
  <si>
    <t>Code</t>
    <phoneticPr fontId="1" type="noConversion"/>
  </si>
  <si>
    <t>ECLR</t>
    <phoneticPr fontId="1" type="noConversion"/>
  </si>
  <si>
    <t>79453</t>
    <phoneticPr fontId="1" type="noConversion"/>
  </si>
  <si>
    <t>58298</t>
    <phoneticPr fontId="1" type="noConversion"/>
  </si>
  <si>
    <t>75945</t>
    <phoneticPr fontId="1" type="noConversion"/>
  </si>
  <si>
    <t>38838</t>
    <phoneticPr fontId="1" type="noConversion"/>
  </si>
  <si>
    <t>Repo Type:</t>
    <phoneticPr fontId="1" type="noConversion"/>
  </si>
  <si>
    <t>Trade Ref:</t>
    <phoneticPr fontId="1" type="noConversion"/>
  </si>
  <si>
    <t>74947</t>
    <phoneticPr fontId="1" type="noConversion"/>
  </si>
  <si>
    <t>Cell C2</t>
    <phoneticPr fontId="1" type="noConversion"/>
  </si>
  <si>
    <t>Cell B2</t>
    <phoneticPr fontId="1" type="noConversion"/>
  </si>
  <si>
    <t>Cell P2</t>
    <phoneticPr fontId="1" type="noConversion"/>
  </si>
  <si>
    <t>Cell H2</t>
    <phoneticPr fontId="1" type="noConversion"/>
  </si>
  <si>
    <t>Cell I2</t>
    <phoneticPr fontId="1" type="noConversion"/>
  </si>
  <si>
    <t>Cell O2</t>
    <phoneticPr fontId="1" type="noConversion"/>
  </si>
  <si>
    <t>Cell Q2</t>
    <phoneticPr fontId="1" type="noConversion"/>
  </si>
  <si>
    <t>Clean Price</t>
    <phoneticPr fontId="1" type="noConversion"/>
  </si>
  <si>
    <t>Cell N2</t>
    <phoneticPr fontId="1" type="noConversion"/>
  </si>
  <si>
    <t>Cell K2</t>
    <phoneticPr fontId="1" type="noConversion"/>
  </si>
  <si>
    <t>Cell L2</t>
    <phoneticPr fontId="1" type="noConversion"/>
  </si>
  <si>
    <t>PSET BIC</t>
    <phoneticPr fontId="1" type="noConversion"/>
  </si>
  <si>
    <t>ABCDE</t>
    <phoneticPr fontId="11" type="noConversion"/>
  </si>
  <si>
    <t>HK_BBA</t>
  </si>
  <si>
    <t>HK_BBA</t>
    <phoneticPr fontId="1" type="noConversion"/>
  </si>
  <si>
    <t>HK_UAE</t>
  </si>
  <si>
    <t>HK_UAE</t>
    <phoneticPr fontId="11" type="noConversion"/>
  </si>
  <si>
    <t>HK_JDM</t>
  </si>
  <si>
    <t>HK_JDM</t>
    <phoneticPr fontId="11" type="noConversion"/>
  </si>
  <si>
    <t>HK_SAN</t>
  </si>
  <si>
    <t>HK_SAN</t>
    <phoneticPr fontId="11" type="noConversion"/>
  </si>
  <si>
    <t>HK_HAM</t>
    <phoneticPr fontId="1" type="noConversion"/>
  </si>
  <si>
    <t>HK_HAM</t>
    <phoneticPr fontId="11" type="noConversion"/>
  </si>
  <si>
    <t>XS12345678</t>
    <phoneticPr fontId="11" type="noConversion"/>
  </si>
  <si>
    <t>US987654321</t>
    <phoneticPr fontId="11" type="noConversion"/>
  </si>
  <si>
    <t>USG12345678</t>
    <phoneticPr fontId="11" type="noConversion"/>
  </si>
  <si>
    <t>SUNNYDAY 01/23/26</t>
    <phoneticPr fontId="11" type="noConversion"/>
  </si>
  <si>
    <t>GCLP 09/26/26</t>
    <phoneticPr fontId="11" type="noConversion"/>
  </si>
  <si>
    <t>LEGO 04/24/26</t>
    <phoneticPr fontId="11" type="noConversion"/>
  </si>
  <si>
    <t>MMP 07/21/25</t>
    <phoneticPr fontId="11" type="noConversion"/>
  </si>
  <si>
    <t>MOOVIE 01/10/27</t>
    <phoneticPr fontId="11" type="noConversion"/>
  </si>
  <si>
    <t>GMRA 01/14/29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</si>
</sst>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.00_-;\-* #,##0.00_-;_-* &quot;-&quot;??_-;_-@_-"/>
    <numFmt numFmtId="177" formatCode="0_);[Red]\(0\)"/>
    <numFmt numFmtId="178" formatCode="[$-809]dd\ mmmm\ yyyy;@"/>
    <numFmt numFmtId="179" formatCode="0.00_);[Red]\(0.00\)"/>
  </numFmts>
  <fonts count="14" x14ac:knownFonts="1">
    <font>
      <sz val="11"/>
      <color theme="1"/>
      <name val="宋体"/>
      <family val="2"/>
      <charset val="136"/>
      <scheme val="minor"/>
    </font>
    <font>
      <sz val="9"/>
      <name val="宋体"/>
      <family val="2"/>
      <charset val="136"/>
      <scheme val="minor"/>
    </font>
    <font>
      <sz val="11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宋体"/>
      <family val="2"/>
      <scheme val="minor"/>
    </font>
    <font>
      <b/>
      <sz val="11"/>
      <color theme="0"/>
      <name val="宋体"/>
      <family val="2"/>
      <scheme val="minor"/>
    </font>
    <font>
      <b/>
      <sz val="11"/>
      <color theme="1"/>
      <name val="宋体"/>
      <family val="1"/>
      <scheme val="minor"/>
    </font>
    <font>
      <sz val="12"/>
      <color theme="1"/>
      <name val="Times New Roman"/>
      <family val="1"/>
    </font>
    <font>
      <b/>
      <sz val="11"/>
      <color indexed="9"/>
      <name val="Calibri"/>
      <family val="2"/>
    </font>
    <font>
      <sz val="9"/>
      <name val="宋体"/>
      <family val="3"/>
      <charset val="134"/>
      <scheme val="minor"/>
    </font>
    <font>
      <sz val="11"/>
      <color theme="1"/>
      <name val="等线"/>
      <family val="3"/>
      <charset val="134"/>
    </font>
    <font>
      <b/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rgb="FF4F81BD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0" fillId="11" borderId="0"/>
  </cellStyleXfs>
  <cellXfs count="71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top" wrapText="1"/>
    </xf>
    <xf numFmtId="14" fontId="2" fillId="0" borderId="0" xfId="0" applyNumberFormat="1" applyFont="1" applyAlignment="1">
      <alignment vertical="center" wrapText="1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0" fillId="2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7" fillId="3" borderId="4" xfId="0" applyFont="1" applyFill="1" applyBorder="1">
      <alignment vertical="center"/>
    </xf>
    <xf numFmtId="0" fontId="6" fillId="5" borderId="5" xfId="0" applyFont="1" applyFill="1" applyBorder="1">
      <alignment vertical="center"/>
    </xf>
    <xf numFmtId="0" fontId="8" fillId="4" borderId="5" xfId="0" applyFont="1" applyFill="1" applyBorder="1">
      <alignment vertical="center"/>
    </xf>
    <xf numFmtId="0" fontId="8" fillId="2" borderId="5" xfId="0" applyFont="1" applyFill="1" applyBorder="1">
      <alignment vertical="center"/>
    </xf>
    <xf numFmtId="0" fontId="8" fillId="6" borderId="5" xfId="0" applyFont="1" applyFill="1" applyBorder="1">
      <alignment vertical="center"/>
    </xf>
    <xf numFmtId="0" fontId="8" fillId="7" borderId="6" xfId="0" applyFont="1" applyFill="1" applyBorder="1">
      <alignment vertical="center"/>
    </xf>
    <xf numFmtId="0" fontId="0" fillId="8" borderId="3" xfId="0" applyFill="1" applyBorder="1">
      <alignment vertical="center"/>
    </xf>
    <xf numFmtId="178" fontId="5" fillId="0" borderId="0" xfId="0" applyNumberFormat="1" applyFont="1" applyAlignment="1">
      <alignment vertical="center" wrapText="1"/>
    </xf>
    <xf numFmtId="0" fontId="4" fillId="0" borderId="0" xfId="0" applyFont="1" applyAlignment="1">
      <alignment vertical="top" wrapText="1"/>
    </xf>
    <xf numFmtId="179" fontId="0" fillId="0" borderId="0" xfId="0" applyNumberFormat="1">
      <alignment vertical="center"/>
    </xf>
    <xf numFmtId="0" fontId="9" fillId="0" borderId="0" xfId="0" quotePrefix="1" applyFont="1">
      <alignment vertical="center"/>
    </xf>
    <xf numFmtId="0" fontId="0" fillId="0" borderId="0" xfId="0" quotePrefix="1">
      <alignment vertical="center"/>
    </xf>
    <xf numFmtId="0" fontId="8" fillId="9" borderId="9" xfId="0" applyFont="1" applyFill="1" applyBorder="1">
      <alignment vertical="center"/>
    </xf>
    <xf numFmtId="0" fontId="0" fillId="9" borderId="0" xfId="0" applyFill="1">
      <alignment vertical="center"/>
    </xf>
    <xf numFmtId="0" fontId="0" fillId="0" borderId="0" xfId="0" applyAlignment="1"/>
    <xf numFmtId="0" fontId="4" fillId="0" borderId="0" xfId="0" applyFont="1">
      <alignment vertical="center"/>
    </xf>
    <xf numFmtId="0" fontId="5" fillId="0" borderId="1" xfId="0" applyFont="1" applyBorder="1" applyAlignment="1">
      <alignment horizontal="left" vertical="center"/>
    </xf>
    <xf numFmtId="4" fontId="5" fillId="0" borderId="1" xfId="0" applyNumberFormat="1" applyFont="1" applyBorder="1" applyAlignment="1">
      <alignment horizontal="left" vertical="center"/>
    </xf>
    <xf numFmtId="0" fontId="5" fillId="0" borderId="0" xfId="0" applyFont="1">
      <alignment vertical="center"/>
    </xf>
    <xf numFmtId="0" fontId="2" fillId="0" borderId="0" xfId="0" quotePrefix="1" applyFont="1" applyAlignment="1">
      <alignment horizontal="right" vertical="center"/>
    </xf>
    <xf numFmtId="0" fontId="10" fillId="11" borderId="0" xfId="1"/>
    <xf numFmtId="0" fontId="10" fillId="12" borderId="0" xfId="1" applyFill="1"/>
    <xf numFmtId="0" fontId="12" fillId="0" borderId="0" xfId="0" applyFont="1" applyAlignment="1"/>
    <xf numFmtId="0" fontId="5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13" fillId="4" borderId="0" xfId="0" applyFont="1" applyFill="1">
      <alignment vertical="center"/>
    </xf>
    <xf numFmtId="0" fontId="2" fillId="4" borderId="7" xfId="0" applyFont="1" applyFill="1" applyBorder="1">
      <alignment vertical="center"/>
    </xf>
    <xf numFmtId="0" fontId="2" fillId="10" borderId="3" xfId="0" applyFont="1" applyFill="1" applyBorder="1">
      <alignment vertical="center"/>
    </xf>
    <xf numFmtId="0" fontId="5" fillId="4" borderId="8" xfId="0" applyFont="1" applyFill="1" applyBorder="1">
      <alignment vertical="center"/>
    </xf>
    <xf numFmtId="14" fontId="2" fillId="4" borderId="3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13" borderId="0" xfId="0" applyFont="1" applyFill="1" applyAlignment="1">
      <alignment horizontal="left" vertical="center"/>
    </xf>
    <xf numFmtId="0" fontId="5" fillId="13" borderId="0" xfId="0" applyFont="1" applyFill="1" applyAlignment="1">
      <alignment horizontal="left" vertical="center"/>
    </xf>
    <xf numFmtId="15" fontId="5" fillId="13" borderId="1" xfId="0" applyNumberFormat="1" applyFont="1" applyFill="1" applyBorder="1" applyAlignment="1">
      <alignment horizontal="left" vertical="center"/>
    </xf>
    <xf numFmtId="0" fontId="5" fillId="13" borderId="1" xfId="0" applyFont="1" applyFill="1" applyBorder="1" applyAlignment="1">
      <alignment horizontal="left" vertical="center"/>
    </xf>
    <xf numFmtId="176" fontId="5" fillId="13" borderId="1" xfId="0" applyNumberFormat="1" applyFont="1" applyFill="1" applyBorder="1" applyAlignment="1">
      <alignment horizontal="left" vertical="center"/>
    </xf>
    <xf numFmtId="4" fontId="5" fillId="13" borderId="1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0" borderId="1" xfId="0" quotePrefix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38" fontId="5" fillId="0" borderId="1" xfId="0" applyNumberFormat="1" applyFont="1" applyBorder="1" applyAlignment="1">
      <alignment horizontal="left" vertical="center"/>
    </xf>
    <xf numFmtId="4" fontId="5" fillId="13" borderId="1" xfId="0" applyNumberFormat="1" applyFont="1" applyFill="1" applyBorder="1" applyAlignment="1">
      <alignment horizontal="left" vertical="center"/>
    </xf>
    <xf numFmtId="0" fontId="4" fillId="8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177" fontId="5" fillId="13" borderId="1" xfId="0" applyNumberFormat="1" applyFont="1" applyFill="1" applyBorder="1" applyAlignment="1">
      <alignment horizontal="left" vertical="center"/>
    </xf>
    <xf numFmtId="0" fontId="4" fillId="0" borderId="0" xfId="0" quotePrefix="1" applyFont="1" applyAlignment="1">
      <alignment horizontal="left" vertical="center" wrapText="1"/>
    </xf>
    <xf numFmtId="0" fontId="5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15" fontId="5" fillId="0" borderId="1" xfId="0" applyNumberFormat="1" applyFont="1" applyBorder="1" applyAlignment="1">
      <alignment horizontal="left" vertical="center"/>
    </xf>
    <xf numFmtId="4" fontId="5" fillId="0" borderId="1" xfId="0" applyNumberFormat="1" applyFont="1" applyBorder="1" applyAlignment="1">
      <alignment horizontal="left" vertical="center"/>
    </xf>
  </cellXfs>
  <cellStyles count="2">
    <cellStyle name="blp_column_header" xfId="1" xr:uid="{DB252A41-684E-45A6-8868-C6C722CD7267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  <pageSetUpPr fitToPage="1"/>
  </sheetPr>
  <dimension ref="B1:N45"/>
  <sheetViews>
    <sheetView showGridLines="0" zoomScale="70" zoomScaleNormal="70" workbookViewId="0">
      <selection activeCell="M26" sqref="M26"/>
    </sheetView>
  </sheetViews>
  <sheetFormatPr defaultColWidth="8.875" defaultRowHeight="14.25" x14ac:dyDescent="0.15"/>
  <cols>
    <col min="1" max="1" width="8.875" style="5"/>
    <col min="2" max="2" width="23.5" style="5" customWidth="1"/>
    <col min="3" max="3" width="16.5" style="5" customWidth="1"/>
    <col min="4" max="4" width="15.375" style="5" customWidth="1"/>
    <col min="5" max="6" width="14.375" style="5" customWidth="1"/>
    <col min="7" max="7" width="14.125" style="5" customWidth="1"/>
    <col min="8" max="8" width="8.875" style="5"/>
    <col min="9" max="9" width="28.375" style="5" customWidth="1"/>
    <col min="10" max="10" width="8.875" style="5"/>
    <col min="11" max="11" width="11" style="5" bestFit="1" customWidth="1"/>
    <col min="12" max="12" width="8.875" style="5"/>
    <col min="13" max="13" width="13.125" style="5" bestFit="1" customWidth="1"/>
    <col min="14" max="14" width="19" style="5" bestFit="1" customWidth="1"/>
    <col min="15" max="16384" width="8.875" style="5"/>
  </cols>
  <sheetData>
    <row r="1" spans="2:14" ht="15" x14ac:dyDescent="0.15">
      <c r="B1" s="34"/>
      <c r="C1" s="34"/>
      <c r="D1" s="34"/>
      <c r="E1" s="34"/>
      <c r="F1" s="34"/>
      <c r="G1" s="34"/>
      <c r="H1" s="34"/>
      <c r="I1" s="34"/>
    </row>
    <row r="2" spans="2:14" ht="15" x14ac:dyDescent="0.15">
      <c r="B2" s="34"/>
      <c r="C2" s="34"/>
      <c r="D2" s="34"/>
      <c r="E2" s="34"/>
      <c r="F2" s="34"/>
      <c r="G2" s="34"/>
      <c r="H2" s="34"/>
      <c r="I2" s="34"/>
    </row>
    <row r="3" spans="2:14" ht="15" x14ac:dyDescent="0.15">
      <c r="B3" s="34"/>
      <c r="C3" s="34"/>
      <c r="D3" s="34"/>
      <c r="E3" s="34"/>
      <c r="F3" s="34"/>
      <c r="G3" s="34"/>
      <c r="H3" s="34"/>
      <c r="I3" s="34"/>
    </row>
    <row r="4" spans="2:14" ht="15" x14ac:dyDescent="0.15">
      <c r="B4" s="34"/>
      <c r="C4" s="34"/>
      <c r="D4" s="34"/>
      <c r="E4" s="34"/>
      <c r="F4" s="34"/>
      <c r="G4" s="34"/>
      <c r="H4" s="34"/>
      <c r="I4" s="34"/>
    </row>
    <row r="5" spans="2:14" ht="15.75" thickBot="1" x14ac:dyDescent="0.2">
      <c r="B5" s="34"/>
      <c r="C5" s="34"/>
      <c r="D5" s="34"/>
      <c r="E5" s="34"/>
      <c r="F5" s="34"/>
      <c r="G5" s="34"/>
      <c r="H5" s="34"/>
      <c r="I5" s="34"/>
    </row>
    <row r="6" spans="2:14" ht="15.75" thickBot="1" x14ac:dyDescent="0.2">
      <c r="B6" s="34"/>
      <c r="C6" s="34"/>
      <c r="D6" s="34"/>
      <c r="E6" s="34"/>
      <c r="F6" s="34"/>
      <c r="G6" s="34"/>
      <c r="H6" s="34"/>
      <c r="I6" s="34"/>
      <c r="M6" s="42"/>
      <c r="N6" s="43"/>
    </row>
    <row r="7" spans="2:14" ht="16.5" thickBot="1" x14ac:dyDescent="0.2">
      <c r="B7" s="62" t="s">
        <v>99</v>
      </c>
      <c r="C7" s="62"/>
      <c r="D7" s="62"/>
      <c r="E7" s="62"/>
      <c r="F7" s="34"/>
      <c r="G7" s="34"/>
      <c r="H7" s="34"/>
      <c r="I7" s="34"/>
      <c r="M7" s="42"/>
      <c r="N7" s="44"/>
    </row>
    <row r="8" spans="2:14" ht="15.75" thickBot="1" x14ac:dyDescent="0.2">
      <c r="B8" s="34"/>
      <c r="C8" s="34"/>
      <c r="D8" s="34"/>
      <c r="E8" s="34"/>
      <c r="F8" s="34"/>
      <c r="G8" s="34"/>
      <c r="H8" s="34"/>
      <c r="I8" s="34"/>
      <c r="M8" s="42"/>
      <c r="N8" s="45"/>
    </row>
    <row r="9" spans="2:14" ht="16.5" thickBot="1" x14ac:dyDescent="0.2">
      <c r="B9" s="7" t="s">
        <v>0</v>
      </c>
      <c r="C9" s="63"/>
      <c r="D9" s="63"/>
      <c r="E9" s="34"/>
      <c r="F9" s="34"/>
      <c r="G9" s="34"/>
      <c r="H9" s="7" t="s">
        <v>2</v>
      </c>
      <c r="I9" s="23">
        <f ca="1">TODAY()</f>
        <v>46143</v>
      </c>
      <c r="J9" s="1"/>
      <c r="K9" s="3"/>
      <c r="M9" s="42"/>
      <c r="N9" s="46"/>
    </row>
    <row r="10" spans="2:14" ht="15.75" customHeight="1" x14ac:dyDescent="0.15">
      <c r="B10" s="24" t="s">
        <v>1</v>
      </c>
      <c r="C10" s="66"/>
      <c r="D10" s="66"/>
      <c r="E10" s="66"/>
      <c r="F10" s="66"/>
      <c r="G10" s="66"/>
      <c r="H10" s="9"/>
      <c r="I10" s="9"/>
      <c r="J10" s="2"/>
      <c r="K10" s="2"/>
      <c r="L10" s="2"/>
    </row>
    <row r="11" spans="2:14" ht="15.75" x14ac:dyDescent="0.15">
      <c r="B11" s="31" t="s">
        <v>100</v>
      </c>
      <c r="C11" s="63"/>
      <c r="D11" s="63"/>
      <c r="E11" s="63"/>
      <c r="F11" s="63"/>
      <c r="G11" s="63"/>
      <c r="H11" s="6"/>
      <c r="I11" s="6"/>
    </row>
    <row r="12" spans="2:14" ht="16.5" customHeight="1" x14ac:dyDescent="0.15">
      <c r="B12" s="31" t="s">
        <v>104</v>
      </c>
      <c r="C12" s="65"/>
      <c r="D12" s="54"/>
      <c r="E12" s="54"/>
      <c r="F12" s="54"/>
      <c r="G12" s="54"/>
      <c r="H12" s="6"/>
      <c r="I12" s="6"/>
    </row>
    <row r="13" spans="2:14" ht="15.75" x14ac:dyDescent="0.15">
      <c r="B13" s="8"/>
      <c r="C13" s="8"/>
      <c r="D13" s="39"/>
      <c r="E13" s="39"/>
      <c r="F13" s="6"/>
      <c r="G13" s="6"/>
      <c r="H13" s="6"/>
      <c r="I13" s="6"/>
    </row>
    <row r="14" spans="2:14" ht="20.25" customHeight="1" x14ac:dyDescent="0.15">
      <c r="B14" s="54" t="s">
        <v>178</v>
      </c>
      <c r="C14" s="54"/>
      <c r="D14" s="67" t="str">
        <f>TBLT!N2</f>
        <v>3471704</v>
      </c>
      <c r="E14" s="67"/>
      <c r="F14" s="67"/>
      <c r="G14" s="67"/>
      <c r="H14" s="67"/>
      <c r="I14" s="67"/>
      <c r="K14" s="5" t="s">
        <v>188</v>
      </c>
    </row>
    <row r="15" spans="2:14" ht="15.75" x14ac:dyDescent="0.15">
      <c r="B15" s="54" t="s">
        <v>112</v>
      </c>
      <c r="C15" s="54"/>
      <c r="D15" s="32" t="str">
        <f>TBLT!C2</f>
        <v>HK_BBA</v>
      </c>
      <c r="E15" s="41"/>
      <c r="F15" s="32"/>
      <c r="G15" s="32"/>
      <c r="H15" s="32"/>
      <c r="I15" s="32"/>
      <c r="K15" s="5" t="s">
        <v>180</v>
      </c>
    </row>
    <row r="16" spans="2:14" s="47" customFormat="1" ht="34.5" customHeight="1" x14ac:dyDescent="0.15">
      <c r="B16" s="54" t="s">
        <v>24</v>
      </c>
      <c r="C16" s="54"/>
      <c r="D16" s="64" t="str">
        <f>VLOOKUP(D15,Debit_Account!$B:$D,3,0)</f>
        <v>74947</v>
      </c>
      <c r="E16" s="64"/>
      <c r="F16" s="64"/>
      <c r="G16" s="64"/>
      <c r="H16" s="64"/>
      <c r="I16" s="64"/>
    </row>
    <row r="17" spans="2:11" ht="15" x14ac:dyDescent="0.15">
      <c r="B17" s="6"/>
      <c r="C17" s="6"/>
      <c r="D17" s="6"/>
      <c r="E17" s="6"/>
      <c r="F17" s="6"/>
      <c r="G17" s="6"/>
      <c r="H17" s="6"/>
      <c r="I17" s="6"/>
    </row>
    <row r="18" spans="2:11" ht="15" x14ac:dyDescent="0.15">
      <c r="B18" s="68" t="s">
        <v>101</v>
      </c>
      <c r="C18" s="68"/>
      <c r="D18" s="68"/>
      <c r="E18" s="68"/>
      <c r="F18" s="68"/>
      <c r="G18" s="68"/>
      <c r="H18" s="68"/>
      <c r="I18" s="68"/>
    </row>
    <row r="19" spans="2:11" ht="15" x14ac:dyDescent="0.15">
      <c r="B19" s="6"/>
      <c r="C19" s="6"/>
      <c r="D19" s="6"/>
      <c r="E19" s="6"/>
      <c r="F19" s="6"/>
      <c r="G19" s="6"/>
      <c r="H19" s="6"/>
      <c r="I19" s="6"/>
    </row>
    <row r="20" spans="2:11" ht="15.75" x14ac:dyDescent="0.15">
      <c r="B20" s="54" t="s">
        <v>177</v>
      </c>
      <c r="C20" s="54"/>
      <c r="D20" s="48" t="str">
        <f>IF(ISBLANK(TBLT!P2),"OPEN REPO","CLOSE REPO")</f>
        <v>OPEN REPO</v>
      </c>
      <c r="E20" s="49"/>
      <c r="F20" s="49"/>
      <c r="G20" s="49"/>
      <c r="H20" s="49"/>
      <c r="I20" s="49"/>
      <c r="K20" s="5" t="s">
        <v>182</v>
      </c>
    </row>
    <row r="21" spans="2:11" ht="20.25" customHeight="1" x14ac:dyDescent="0.15">
      <c r="B21" s="54" t="s">
        <v>105</v>
      </c>
      <c r="C21" s="54"/>
      <c r="D21" s="56" t="str">
        <f>TBLT!B2</f>
        <v>XS12345678</v>
      </c>
      <c r="E21" s="56"/>
      <c r="F21" s="56"/>
      <c r="G21" s="56"/>
      <c r="H21" s="56"/>
      <c r="I21" s="56"/>
      <c r="K21" s="5" t="s">
        <v>181</v>
      </c>
    </row>
    <row r="22" spans="2:11" ht="20.25" customHeight="1" x14ac:dyDescent="0.15">
      <c r="B22" s="54" t="s">
        <v>102</v>
      </c>
      <c r="C22" s="54"/>
      <c r="D22" s="69" t="str">
        <f>TBLT!H2</f>
        <v>12/11/2025</v>
      </c>
      <c r="E22" s="56"/>
      <c r="F22" s="56"/>
      <c r="G22" s="56"/>
      <c r="H22" s="56"/>
      <c r="I22" s="56"/>
      <c r="K22" s="5" t="s">
        <v>183</v>
      </c>
    </row>
    <row r="23" spans="2:11" ht="20.25" customHeight="1" x14ac:dyDescent="0.15">
      <c r="B23" s="54" t="s">
        <v>103</v>
      </c>
      <c r="C23" s="54"/>
      <c r="D23" s="69" t="str">
        <f>TBLT!I2</f>
        <v>12/12/2025</v>
      </c>
      <c r="E23" s="56"/>
      <c r="F23" s="56"/>
      <c r="G23" s="56"/>
      <c r="H23" s="56"/>
      <c r="I23" s="56"/>
      <c r="K23" s="5" t="s">
        <v>184</v>
      </c>
    </row>
    <row r="24" spans="2:11" ht="20.25" customHeight="1" x14ac:dyDescent="0.15">
      <c r="B24" s="54" t="s">
        <v>106</v>
      </c>
      <c r="C24" s="54"/>
      <c r="D24" s="50" t="str">
        <f>IF(D20="OPEN REPO", "OPEN", TBLT!P2)</f>
        <v>OPEN</v>
      </c>
      <c r="E24" s="51"/>
      <c r="F24" s="51"/>
      <c r="G24" s="51"/>
      <c r="H24" s="51"/>
      <c r="I24" s="51"/>
      <c r="K24" s="5" t="s">
        <v>182</v>
      </c>
    </row>
    <row r="25" spans="2:11" ht="20.25" customHeight="1" x14ac:dyDescent="0.15">
      <c r="B25" s="54" t="s">
        <v>3</v>
      </c>
      <c r="C25" s="54"/>
      <c r="D25" s="56" t="str">
        <f>TBLT!O2</f>
        <v>USD</v>
      </c>
      <c r="E25" s="56"/>
      <c r="F25" s="56"/>
      <c r="G25" s="56"/>
      <c r="H25" s="56"/>
      <c r="I25" s="56"/>
      <c r="K25" s="5" t="s">
        <v>185</v>
      </c>
    </row>
    <row r="26" spans="2:11" ht="20.25" customHeight="1" x14ac:dyDescent="0.15">
      <c r="B26" s="54" t="s">
        <v>108</v>
      </c>
      <c r="C26" s="54"/>
      <c r="D26" s="33">
        <f>TBLT!Q2</f>
        <v>3.6</v>
      </c>
      <c r="E26" s="33"/>
      <c r="F26" s="33"/>
      <c r="G26" s="33"/>
      <c r="H26" s="33"/>
      <c r="I26" s="33"/>
      <c r="K26" s="5" t="s">
        <v>186</v>
      </c>
    </row>
    <row r="27" spans="2:11" ht="20.25" customHeight="1" x14ac:dyDescent="0.15">
      <c r="B27" s="54" t="s">
        <v>187</v>
      </c>
      <c r="C27" s="54"/>
      <c r="D27" s="33">
        <f>TBLT!F2</f>
        <v>103.788641</v>
      </c>
      <c r="E27" s="33"/>
      <c r="F27" s="33"/>
      <c r="G27" s="33"/>
      <c r="H27" s="33"/>
      <c r="I27" s="33"/>
    </row>
    <row r="28" spans="2:11" ht="20.25" customHeight="1" x14ac:dyDescent="0.15">
      <c r="B28" s="54" t="s">
        <v>107</v>
      </c>
      <c r="C28" s="54"/>
      <c r="D28" s="59">
        <f>TBLT!K2</f>
        <v>1300000</v>
      </c>
      <c r="E28" s="59"/>
      <c r="F28" s="59"/>
      <c r="G28" s="59"/>
      <c r="H28" s="59"/>
      <c r="I28" s="59"/>
    </row>
    <row r="29" spans="2:11" ht="20.25" customHeight="1" x14ac:dyDescent="0.15">
      <c r="B29" s="54" t="s">
        <v>111</v>
      </c>
      <c r="C29" s="54"/>
      <c r="D29" s="70">
        <f>TBLT!M2</f>
        <v>1241312.1499999999</v>
      </c>
      <c r="E29" s="70"/>
      <c r="F29" s="70"/>
      <c r="G29" s="70"/>
      <c r="H29" s="70"/>
      <c r="I29" s="70"/>
      <c r="K29" s="5" t="s">
        <v>189</v>
      </c>
    </row>
    <row r="30" spans="2:11" ht="20.25" customHeight="1" x14ac:dyDescent="0.15">
      <c r="B30" s="54" t="s">
        <v>109</v>
      </c>
      <c r="C30" s="54"/>
      <c r="D30" s="52">
        <f>IF(D24="OPEN",0,TBLT!L2)</f>
        <v>0</v>
      </c>
      <c r="E30" s="53"/>
      <c r="F30" s="53"/>
      <c r="G30" s="53"/>
      <c r="H30" s="53"/>
      <c r="I30" s="53"/>
      <c r="K30" s="5" t="s">
        <v>190</v>
      </c>
    </row>
    <row r="31" spans="2:11" ht="20.25" customHeight="1" x14ac:dyDescent="0.15">
      <c r="B31" s="54" t="s">
        <v>110</v>
      </c>
      <c r="C31" s="54"/>
      <c r="D31" s="60">
        <f>SUM(D29:I30)</f>
        <v>1241312.1499999999</v>
      </c>
      <c r="E31" s="60"/>
      <c r="F31" s="60"/>
      <c r="G31" s="60"/>
      <c r="H31" s="60"/>
      <c r="I31" s="60"/>
    </row>
    <row r="32" spans="2:11" ht="20.25" customHeight="1" x14ac:dyDescent="0.15">
      <c r="B32" s="61" t="s">
        <v>4</v>
      </c>
      <c r="C32" s="61"/>
      <c r="D32" s="55"/>
      <c r="E32" s="56"/>
      <c r="F32" s="56"/>
      <c r="G32" s="56"/>
      <c r="H32" s="56"/>
      <c r="I32" s="56"/>
    </row>
    <row r="33" spans="2:9" ht="20.25" customHeight="1" x14ac:dyDescent="0.15">
      <c r="B33" s="61" t="s">
        <v>90</v>
      </c>
      <c r="C33" s="61"/>
      <c r="D33" s="55"/>
      <c r="E33" s="56"/>
      <c r="F33" s="56"/>
      <c r="G33" s="56"/>
      <c r="H33" s="56"/>
      <c r="I33" s="56"/>
    </row>
    <row r="34" spans="2:9" ht="20.25" customHeight="1" x14ac:dyDescent="0.15">
      <c r="B34" s="61" t="s">
        <v>93</v>
      </c>
      <c r="C34" s="61"/>
      <c r="D34" s="57"/>
      <c r="E34" s="57"/>
      <c r="F34" s="57"/>
      <c r="G34" s="57"/>
      <c r="H34" s="57"/>
      <c r="I34" s="57"/>
    </row>
    <row r="35" spans="2:9" ht="20.25" customHeight="1" x14ac:dyDescent="0.15">
      <c r="B35" s="61" t="s">
        <v>94</v>
      </c>
      <c r="C35" s="61"/>
      <c r="D35" s="58"/>
      <c r="E35" s="58"/>
      <c r="F35" s="58"/>
      <c r="G35" s="58"/>
      <c r="H35" s="58"/>
      <c r="I35" s="58"/>
    </row>
    <row r="36" spans="2:9" ht="15" x14ac:dyDescent="0.15">
      <c r="B36" s="34"/>
      <c r="C36" s="34"/>
      <c r="D36" s="34"/>
      <c r="E36" s="34"/>
      <c r="F36" s="34"/>
      <c r="G36" s="34"/>
      <c r="H36" s="34"/>
      <c r="I36" s="34"/>
    </row>
    <row r="37" spans="2:9" ht="15" x14ac:dyDescent="0.15">
      <c r="B37" s="34"/>
      <c r="C37" s="34"/>
      <c r="D37" s="34"/>
      <c r="E37" s="34"/>
      <c r="F37" s="34"/>
      <c r="G37" s="34"/>
      <c r="H37" s="34"/>
      <c r="I37" s="34"/>
    </row>
    <row r="38" spans="2:9" ht="15" x14ac:dyDescent="0.15">
      <c r="B38" s="34"/>
      <c r="C38" s="34"/>
      <c r="D38" s="34"/>
      <c r="E38" s="34"/>
      <c r="F38" s="34"/>
      <c r="G38" s="34"/>
      <c r="H38" s="34"/>
      <c r="I38" s="34"/>
    </row>
    <row r="39" spans="2:9" ht="15" x14ac:dyDescent="0.15">
      <c r="B39" s="68" t="s">
        <v>5</v>
      </c>
      <c r="C39" s="68"/>
      <c r="D39" s="68"/>
      <c r="E39" s="34"/>
      <c r="F39" s="34"/>
      <c r="G39" s="34"/>
      <c r="H39" s="34"/>
      <c r="I39" s="34"/>
    </row>
    <row r="40" spans="2:9" ht="15" x14ac:dyDescent="0.15">
      <c r="B40" s="6"/>
      <c r="C40" s="6"/>
      <c r="D40" s="6"/>
      <c r="E40" s="34"/>
      <c r="F40" s="34"/>
      <c r="G40" s="34"/>
      <c r="H40" s="34"/>
      <c r="I40" s="34"/>
    </row>
    <row r="41" spans="2:9" ht="15" x14ac:dyDescent="0.15">
      <c r="B41" s="6"/>
      <c r="C41" s="6"/>
      <c r="D41" s="6"/>
      <c r="E41" s="34"/>
      <c r="F41" s="34"/>
      <c r="G41" s="34"/>
      <c r="H41" s="34"/>
      <c r="I41" s="34"/>
    </row>
    <row r="42" spans="2:9" ht="15" x14ac:dyDescent="0.15">
      <c r="B42" s="6"/>
      <c r="C42" s="6"/>
      <c r="D42" s="6"/>
      <c r="E42" s="34"/>
      <c r="F42" s="34"/>
      <c r="G42" s="34"/>
      <c r="H42" s="34"/>
      <c r="I42" s="34"/>
    </row>
    <row r="43" spans="2:9" ht="15" x14ac:dyDescent="0.15">
      <c r="B43" s="6"/>
      <c r="C43" s="6"/>
      <c r="D43" s="6"/>
      <c r="E43" s="34"/>
      <c r="F43" s="34"/>
      <c r="G43" s="34"/>
      <c r="H43" s="34"/>
      <c r="I43" s="34"/>
    </row>
    <row r="44" spans="2:9" ht="15" x14ac:dyDescent="0.15">
      <c r="B44" s="6" t="s">
        <v>7</v>
      </c>
      <c r="C44" s="6"/>
      <c r="D44" s="6"/>
      <c r="E44" s="34"/>
      <c r="F44" s="34"/>
      <c r="G44" s="34"/>
      <c r="H44" s="34"/>
      <c r="I44" s="34"/>
    </row>
    <row r="45" spans="2:9" ht="15" x14ac:dyDescent="0.15">
      <c r="B45" s="68" t="s">
        <v>6</v>
      </c>
      <c r="C45" s="68"/>
      <c r="D45" s="68"/>
      <c r="E45" s="34"/>
      <c r="F45" s="34"/>
      <c r="G45" s="34"/>
      <c r="H45" s="34"/>
      <c r="I45" s="34"/>
    </row>
  </sheetData>
  <dataConsolidate/>
  <mergeCells count="40">
    <mergeCell ref="B39:D39"/>
    <mergeCell ref="B45:D45"/>
    <mergeCell ref="B18:I18"/>
    <mergeCell ref="D21:I21"/>
    <mergeCell ref="D22:I22"/>
    <mergeCell ref="D23:I23"/>
    <mergeCell ref="D25:I25"/>
    <mergeCell ref="D29:I29"/>
    <mergeCell ref="D32:I32"/>
    <mergeCell ref="B21:C21"/>
    <mergeCell ref="B22:C22"/>
    <mergeCell ref="B23:C23"/>
    <mergeCell ref="B25:C25"/>
    <mergeCell ref="B29:C29"/>
    <mergeCell ref="B32:C32"/>
    <mergeCell ref="B33:C33"/>
    <mergeCell ref="B7:E7"/>
    <mergeCell ref="C9:D9"/>
    <mergeCell ref="B16:C16"/>
    <mergeCell ref="D16:I16"/>
    <mergeCell ref="C11:G11"/>
    <mergeCell ref="C12:G12"/>
    <mergeCell ref="C10:G10"/>
    <mergeCell ref="B15:C15"/>
    <mergeCell ref="B14:C14"/>
    <mergeCell ref="D14:I14"/>
    <mergeCell ref="B20:C20"/>
    <mergeCell ref="D33:I33"/>
    <mergeCell ref="D34:I34"/>
    <mergeCell ref="D35:I35"/>
    <mergeCell ref="D28:I28"/>
    <mergeCell ref="B30:C30"/>
    <mergeCell ref="B31:C31"/>
    <mergeCell ref="D31:I31"/>
    <mergeCell ref="B34:C34"/>
    <mergeCell ref="B35:C35"/>
    <mergeCell ref="B24:C24"/>
    <mergeCell ref="B28:C28"/>
    <mergeCell ref="B26:C26"/>
    <mergeCell ref="B27:C27"/>
  </mergeCells>
  <phoneticPr fontId="1" type="noConversion"/>
  <pageMargins left="0.7" right="0.7" top="0.75" bottom="0.75" header="0.3" footer="0.3"/>
  <pageSetup paperSize="9" scale="66" fitToHeight="2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Ticker!$E$2:$E$9</xm:f>
          </x14:formula1>
          <xm:sqref>N7</xm:sqref>
        </x14:dataValidation>
        <x14:dataValidation type="list" allowBlank="1" showInputMessage="1" showErrorMessage="1" xr:uid="{00000000-0002-0000-0000-000001000000}">
          <x14:formula1>
            <xm:f>Ticker!$A$2:$A$7</xm:f>
          </x14:formula1>
          <xm:sqref>N6</xm:sqref>
        </x14:dataValidation>
        <x14:dataValidation type="list" allowBlank="1" showInputMessage="1" showErrorMessage="1" xr:uid="{00000000-0002-0000-0000-000002000000}">
          <x14:formula1>
            <xm:f>Ticker!$H$2:$H$4</xm:f>
          </x14:formula1>
          <xm:sqref>N8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AD21B-8FB9-4B2A-BA49-BFEB0F2FA6EF}">
  <dimension ref="A1:AC10"/>
  <sheetViews>
    <sheetView tabSelected="1" zoomScale="85" zoomScaleNormal="85" workbookViewId="0"/>
  </sheetViews>
  <sheetFormatPr defaultRowHeight="13.5" x14ac:dyDescent="0.15"/>
  <cols>
    <col min="1" max="1" width="19.75" customWidth="1"/>
    <col min="2" max="2" width="14.875" customWidth="1"/>
    <col min="3" max="3" width="14.75" customWidth="1"/>
    <col min="6" max="6" width="9" bestFit="1" customWidth="1"/>
    <col min="11" max="11" width="9.875" bestFit="1" customWidth="1"/>
    <col min="12" max="13" width="9" bestFit="1" customWidth="1"/>
    <col min="17" max="17" width="9" bestFit="1" customWidth="1"/>
    <col min="20" max="20" width="9" bestFit="1" customWidth="1"/>
  </cols>
  <sheetData>
    <row r="1" spans="1:29" ht="15" x14ac:dyDescent="0.25">
      <c r="A1" s="36" t="s">
        <v>113</v>
      </c>
      <c r="B1" s="36" t="s">
        <v>114</v>
      </c>
      <c r="C1" s="36" t="s">
        <v>115</v>
      </c>
      <c r="D1" s="36" t="s">
        <v>116</v>
      </c>
      <c r="E1" s="36" t="s">
        <v>117</v>
      </c>
      <c r="F1" s="36" t="s">
        <v>118</v>
      </c>
      <c r="G1" s="36" t="s">
        <v>119</v>
      </c>
      <c r="H1" s="36" t="s">
        <v>120</v>
      </c>
      <c r="I1" s="36" t="s">
        <v>121</v>
      </c>
      <c r="J1" s="36" t="s">
        <v>122</v>
      </c>
      <c r="K1" s="36" t="s">
        <v>123</v>
      </c>
      <c r="L1" s="36" t="s">
        <v>124</v>
      </c>
      <c r="M1" s="36" t="s">
        <v>125</v>
      </c>
      <c r="N1" s="36" t="s">
        <v>126</v>
      </c>
      <c r="O1" s="36" t="s">
        <v>127</v>
      </c>
      <c r="P1" s="36" t="s">
        <v>128</v>
      </c>
      <c r="Q1" s="36" t="s">
        <v>129</v>
      </c>
      <c r="R1" s="36" t="s">
        <v>130</v>
      </c>
      <c r="S1" s="36" t="s">
        <v>131</v>
      </c>
      <c r="T1" s="36" t="s">
        <v>132</v>
      </c>
      <c r="U1" s="37" t="s">
        <v>133</v>
      </c>
      <c r="V1" s="37" t="s">
        <v>134</v>
      </c>
      <c r="W1" s="37" t="s">
        <v>135</v>
      </c>
      <c r="X1" s="37" t="s">
        <v>136</v>
      </c>
      <c r="Y1" s="37" t="s">
        <v>137</v>
      </c>
      <c r="Z1" s="37" t="s">
        <v>138</v>
      </c>
      <c r="AA1" s="37" t="s">
        <v>139</v>
      </c>
      <c r="AB1" s="37" t="s">
        <v>140</v>
      </c>
      <c r="AC1" s="37" t="s">
        <v>141</v>
      </c>
    </row>
    <row r="2" spans="1:29" s="30" customFormat="1" ht="14.25" x14ac:dyDescent="0.2">
      <c r="A2" s="38" t="s">
        <v>206</v>
      </c>
      <c r="B2" s="38" t="s">
        <v>203</v>
      </c>
      <c r="C2" s="38" t="s">
        <v>193</v>
      </c>
      <c r="D2" s="38" t="s">
        <v>192</v>
      </c>
      <c r="E2" s="38" t="s">
        <v>142</v>
      </c>
      <c r="F2" s="38">
        <v>103.788641</v>
      </c>
      <c r="G2" s="38" t="s">
        <v>143</v>
      </c>
      <c r="H2" s="38" t="s">
        <v>144</v>
      </c>
      <c r="I2" s="38" t="s">
        <v>143</v>
      </c>
      <c r="J2" s="38" t="s">
        <v>145</v>
      </c>
      <c r="K2" s="38">
        <v>1300000</v>
      </c>
      <c r="L2" s="38">
        <v>372.39</v>
      </c>
      <c r="M2" s="38">
        <v>1241312.1499999999</v>
      </c>
      <c r="N2" s="38" t="s">
        <v>146</v>
      </c>
      <c r="O2" s="38" t="s">
        <v>66</v>
      </c>
      <c r="P2" s="38"/>
      <c r="Q2" s="38">
        <v>3.6</v>
      </c>
      <c r="R2" s="38"/>
      <c r="S2" s="38" t="s">
        <v>147</v>
      </c>
      <c r="T2" s="38">
        <v>1241684.54</v>
      </c>
      <c r="U2" s="38" t="s">
        <v>148</v>
      </c>
      <c r="V2" s="38"/>
      <c r="W2" s="38"/>
      <c r="X2" s="38"/>
      <c r="Y2" s="38"/>
      <c r="Z2" s="38"/>
      <c r="AA2" s="38"/>
      <c r="AB2" s="38" t="s">
        <v>149</v>
      </c>
      <c r="AC2" s="38"/>
    </row>
    <row r="3" spans="1:29" s="30" customFormat="1" ht="14.25" x14ac:dyDescent="0.2">
      <c r="A3" s="38" t="s">
        <v>206</v>
      </c>
      <c r="B3" s="38" t="s">
        <v>203</v>
      </c>
      <c r="C3" s="38" t="s">
        <v>193</v>
      </c>
      <c r="D3" s="38" t="s">
        <v>192</v>
      </c>
      <c r="E3" s="38" t="s">
        <v>142</v>
      </c>
      <c r="F3" s="38">
        <v>102.029</v>
      </c>
      <c r="G3" s="38" t="s">
        <v>143</v>
      </c>
      <c r="H3" s="38" t="s">
        <v>150</v>
      </c>
      <c r="I3" s="38" t="s">
        <v>151</v>
      </c>
      <c r="J3" s="38" t="s">
        <v>152</v>
      </c>
      <c r="K3" s="38">
        <v>1300000</v>
      </c>
      <c r="L3" s="38">
        <v>5410.7</v>
      </c>
      <c r="M3" s="38">
        <v>1236730.8700000001</v>
      </c>
      <c r="N3" s="38" t="s">
        <v>153</v>
      </c>
      <c r="O3" s="38" t="s">
        <v>66</v>
      </c>
      <c r="P3" s="38" t="s">
        <v>143</v>
      </c>
      <c r="Q3" s="38">
        <v>3.75</v>
      </c>
      <c r="R3" s="38"/>
      <c r="S3" s="38" t="s">
        <v>154</v>
      </c>
      <c r="T3" s="38">
        <v>1242141.57</v>
      </c>
      <c r="U3" s="38" t="s">
        <v>148</v>
      </c>
      <c r="V3" s="38"/>
      <c r="W3" s="38"/>
      <c r="X3" s="38"/>
      <c r="Y3" s="38"/>
      <c r="Z3" s="38"/>
      <c r="AA3" s="38"/>
      <c r="AB3" s="38" t="s">
        <v>149</v>
      </c>
      <c r="AC3" s="38"/>
    </row>
    <row r="4" spans="1:29" s="30" customFormat="1" ht="14.25" x14ac:dyDescent="0.2">
      <c r="A4" s="38" t="s">
        <v>207</v>
      </c>
      <c r="B4" s="38" t="s">
        <v>204</v>
      </c>
      <c r="C4" s="38" t="s">
        <v>196</v>
      </c>
      <c r="D4" s="38" t="s">
        <v>192</v>
      </c>
      <c r="E4" s="38" t="s">
        <v>142</v>
      </c>
      <c r="F4" s="38">
        <v>92.512221999999994</v>
      </c>
      <c r="G4" s="38" t="s">
        <v>143</v>
      </c>
      <c r="H4" s="38" t="s">
        <v>144</v>
      </c>
      <c r="I4" s="38" t="s">
        <v>143</v>
      </c>
      <c r="J4" s="38" t="s">
        <v>145</v>
      </c>
      <c r="K4" s="38">
        <v>8000000</v>
      </c>
      <c r="L4" s="38">
        <v>2194.92</v>
      </c>
      <c r="M4" s="38">
        <v>6753599.9800000004</v>
      </c>
      <c r="N4" s="38" t="s">
        <v>155</v>
      </c>
      <c r="O4" s="38" t="s">
        <v>66</v>
      </c>
      <c r="P4" s="38"/>
      <c r="Q4" s="38">
        <v>3.9</v>
      </c>
      <c r="R4" s="38"/>
      <c r="S4" s="38" t="s">
        <v>147</v>
      </c>
      <c r="T4" s="38">
        <v>6755794.9000000004</v>
      </c>
      <c r="U4" s="38" t="s">
        <v>148</v>
      </c>
      <c r="V4" s="38"/>
      <c r="W4" s="38"/>
      <c r="X4" s="38"/>
      <c r="Y4" s="38"/>
      <c r="Z4" s="38"/>
      <c r="AA4" s="38"/>
      <c r="AB4" s="38" t="s">
        <v>149</v>
      </c>
      <c r="AC4" s="38"/>
    </row>
    <row r="5" spans="1:29" s="30" customFormat="1" ht="14.25" x14ac:dyDescent="0.2">
      <c r="A5" s="38" t="s">
        <v>207</v>
      </c>
      <c r="B5" s="38" t="s">
        <v>204</v>
      </c>
      <c r="C5" s="38" t="s">
        <v>196</v>
      </c>
      <c r="D5" s="38" t="s">
        <v>192</v>
      </c>
      <c r="E5" s="38" t="s">
        <v>142</v>
      </c>
      <c r="F5" s="38">
        <v>92.481667000000002</v>
      </c>
      <c r="G5" s="38" t="s">
        <v>143</v>
      </c>
      <c r="H5" s="38" t="s">
        <v>156</v>
      </c>
      <c r="I5" s="38" t="s">
        <v>157</v>
      </c>
      <c r="J5" s="38" t="s">
        <v>152</v>
      </c>
      <c r="K5" s="38">
        <v>8000000</v>
      </c>
      <c r="L5" s="38">
        <v>7862.4</v>
      </c>
      <c r="M5" s="38">
        <v>6739200</v>
      </c>
      <c r="N5" s="38" t="s">
        <v>158</v>
      </c>
      <c r="O5" s="38" t="s">
        <v>66</v>
      </c>
      <c r="P5" s="38" t="s">
        <v>143</v>
      </c>
      <c r="Q5" s="38">
        <v>4.2</v>
      </c>
      <c r="R5" s="38"/>
      <c r="S5" s="38" t="s">
        <v>154</v>
      </c>
      <c r="T5" s="38">
        <v>6747062.4000000004</v>
      </c>
      <c r="U5" s="38" t="s">
        <v>148</v>
      </c>
      <c r="V5" s="38"/>
      <c r="W5" s="38"/>
      <c r="X5" s="38"/>
      <c r="Y5" s="38"/>
      <c r="Z5" s="38"/>
      <c r="AA5" s="38"/>
      <c r="AB5" s="38" t="s">
        <v>149</v>
      </c>
      <c r="AC5" s="38"/>
    </row>
    <row r="6" spans="1:29" s="30" customFormat="1" ht="14.25" x14ac:dyDescent="0.2">
      <c r="A6" s="38" t="s">
        <v>208</v>
      </c>
      <c r="B6" s="38" t="s">
        <v>204</v>
      </c>
      <c r="C6" s="38" t="s">
        <v>198</v>
      </c>
      <c r="D6" s="38" t="s">
        <v>192</v>
      </c>
      <c r="E6" s="38" t="s">
        <v>142</v>
      </c>
      <c r="F6" s="38">
        <v>103.91634000000001</v>
      </c>
      <c r="G6" s="38" t="s">
        <v>143</v>
      </c>
      <c r="H6" s="38" t="s">
        <v>144</v>
      </c>
      <c r="I6" s="38" t="s">
        <v>143</v>
      </c>
      <c r="J6" s="38" t="s">
        <v>145</v>
      </c>
      <c r="K6" s="38">
        <v>1800000</v>
      </c>
      <c r="L6" s="38">
        <v>6923.68</v>
      </c>
      <c r="M6" s="38">
        <v>1695594.71</v>
      </c>
      <c r="N6" s="38" t="s">
        <v>159</v>
      </c>
      <c r="O6" s="38" t="s">
        <v>66</v>
      </c>
      <c r="P6" s="38" t="s">
        <v>160</v>
      </c>
      <c r="Q6" s="38">
        <v>3</v>
      </c>
      <c r="R6" s="38"/>
      <c r="S6" s="38" t="s">
        <v>161</v>
      </c>
      <c r="T6" s="38">
        <v>1702518.39</v>
      </c>
      <c r="U6" s="38" t="s">
        <v>148</v>
      </c>
      <c r="V6" s="38"/>
      <c r="W6" s="38"/>
      <c r="X6" s="38"/>
      <c r="Y6" s="38"/>
      <c r="Z6" s="38"/>
      <c r="AA6" s="38"/>
      <c r="AB6" s="38" t="s">
        <v>149</v>
      </c>
      <c r="AC6" s="38"/>
    </row>
    <row r="7" spans="1:29" s="30" customFormat="1" ht="14.25" x14ac:dyDescent="0.2">
      <c r="A7" s="38" t="s">
        <v>209</v>
      </c>
      <c r="B7" s="38" t="s">
        <v>205</v>
      </c>
      <c r="C7" s="38" t="s">
        <v>200</v>
      </c>
      <c r="D7" s="38" t="s">
        <v>192</v>
      </c>
      <c r="E7" s="38" t="s">
        <v>142</v>
      </c>
      <c r="F7" s="38">
        <v>99</v>
      </c>
      <c r="G7" s="38" t="s">
        <v>162</v>
      </c>
      <c r="H7" s="38" t="s">
        <v>163</v>
      </c>
      <c r="I7" s="38" t="s">
        <v>164</v>
      </c>
      <c r="J7" s="38" t="s">
        <v>145</v>
      </c>
      <c r="K7" s="38">
        <v>1700000</v>
      </c>
      <c r="L7" s="38">
        <v>0</v>
      </c>
      <c r="M7" s="38">
        <v>1717484.03</v>
      </c>
      <c r="N7" s="38" t="s">
        <v>165</v>
      </c>
      <c r="O7" s="38" t="s">
        <v>66</v>
      </c>
      <c r="P7" s="38"/>
      <c r="Q7" s="38">
        <v>4.0999999999999996</v>
      </c>
      <c r="R7" s="38"/>
      <c r="S7" s="38" t="s">
        <v>147</v>
      </c>
      <c r="T7" s="38">
        <v>1717484.03</v>
      </c>
      <c r="U7" s="38" t="s">
        <v>148</v>
      </c>
      <c r="V7" s="38" t="s">
        <v>149</v>
      </c>
      <c r="W7" s="38"/>
      <c r="X7" s="38"/>
      <c r="Y7" s="38"/>
      <c r="Z7" s="38"/>
      <c r="AA7" s="38"/>
      <c r="AB7" s="38" t="s">
        <v>149</v>
      </c>
      <c r="AC7" s="38"/>
    </row>
    <row r="8" spans="1:29" s="30" customFormat="1" ht="14.25" x14ac:dyDescent="0.2">
      <c r="A8" s="38" t="s">
        <v>209</v>
      </c>
      <c r="B8" s="38" t="s">
        <v>205</v>
      </c>
      <c r="C8" s="38" t="s">
        <v>200</v>
      </c>
      <c r="D8" s="38" t="s">
        <v>192</v>
      </c>
      <c r="E8" s="38" t="s">
        <v>142</v>
      </c>
      <c r="F8" s="38">
        <v>99.625</v>
      </c>
      <c r="G8" s="38" t="s">
        <v>162</v>
      </c>
      <c r="H8" s="38" t="s">
        <v>150</v>
      </c>
      <c r="I8" s="38" t="s">
        <v>151</v>
      </c>
      <c r="J8" s="38" t="s">
        <v>152</v>
      </c>
      <c r="K8" s="38">
        <v>3400000</v>
      </c>
      <c r="L8" s="38">
        <v>10973.01</v>
      </c>
      <c r="M8" s="38">
        <v>3441012.5</v>
      </c>
      <c r="N8" s="38" t="s">
        <v>166</v>
      </c>
      <c r="O8" s="38" t="s">
        <v>66</v>
      </c>
      <c r="P8" s="38" t="s">
        <v>164</v>
      </c>
      <c r="Q8" s="38">
        <v>4.0999999999999996</v>
      </c>
      <c r="R8" s="38"/>
      <c r="S8" s="38" t="s">
        <v>154</v>
      </c>
      <c r="T8" s="38">
        <v>3451985.51</v>
      </c>
      <c r="U8" s="38" t="s">
        <v>148</v>
      </c>
      <c r="V8" s="38" t="s">
        <v>149</v>
      </c>
      <c r="W8" s="38"/>
      <c r="X8" s="38"/>
      <c r="Y8" s="38"/>
      <c r="Z8" s="38"/>
      <c r="AA8" s="38"/>
      <c r="AB8" s="38" t="s">
        <v>149</v>
      </c>
      <c r="AC8" s="38"/>
    </row>
    <row r="9" spans="1:29" s="30" customFormat="1" ht="14.25" x14ac:dyDescent="0.2">
      <c r="A9" s="38" t="s">
        <v>210</v>
      </c>
      <c r="B9" s="38" t="s">
        <v>205</v>
      </c>
      <c r="C9" s="38" t="s">
        <v>202</v>
      </c>
      <c r="D9" s="38" t="s">
        <v>192</v>
      </c>
      <c r="E9" s="38" t="s">
        <v>142</v>
      </c>
      <c r="F9" s="38">
        <v>102.20099999999999</v>
      </c>
      <c r="G9" s="38" t="s">
        <v>143</v>
      </c>
      <c r="H9" s="38" t="s">
        <v>167</v>
      </c>
      <c r="I9" s="38" t="s">
        <v>168</v>
      </c>
      <c r="J9" s="38" t="s">
        <v>152</v>
      </c>
      <c r="K9" s="38">
        <v>10000000</v>
      </c>
      <c r="L9" s="38">
        <v>21903.81</v>
      </c>
      <c r="M9" s="38">
        <v>8835149.5700000003</v>
      </c>
      <c r="N9" s="38" t="s">
        <v>169</v>
      </c>
      <c r="O9" s="38" t="s">
        <v>66</v>
      </c>
      <c r="P9" s="38" t="s">
        <v>143</v>
      </c>
      <c r="Q9" s="38">
        <v>4.25</v>
      </c>
      <c r="R9" s="38"/>
      <c r="S9" s="38" t="s">
        <v>154</v>
      </c>
      <c r="T9" s="38">
        <v>8857053.3800000008</v>
      </c>
      <c r="U9" s="38" t="s">
        <v>148</v>
      </c>
      <c r="V9" s="38" t="s">
        <v>149</v>
      </c>
      <c r="W9" s="38"/>
      <c r="X9" s="38"/>
      <c r="Y9" s="38"/>
      <c r="Z9" s="38"/>
      <c r="AA9" s="38" t="s">
        <v>148</v>
      </c>
      <c r="AB9" s="38" t="s">
        <v>149</v>
      </c>
      <c r="AC9" s="38"/>
    </row>
    <row r="10" spans="1:29" s="30" customFormat="1" ht="14.25" x14ac:dyDescent="0.2">
      <c r="A10" s="38" t="s">
        <v>211</v>
      </c>
      <c r="B10" s="38" t="s">
        <v>205</v>
      </c>
      <c r="C10" s="38" t="s">
        <v>202</v>
      </c>
      <c r="D10" s="38" t="s">
        <v>192</v>
      </c>
      <c r="E10" s="38" t="s">
        <v>142</v>
      </c>
      <c r="F10" s="38">
        <v>104.502</v>
      </c>
      <c r="G10" s="38" t="s">
        <v>143</v>
      </c>
      <c r="H10" s="38" t="s">
        <v>150</v>
      </c>
      <c r="I10" s="38" t="s">
        <v>151</v>
      </c>
      <c r="J10" s="38" t="s">
        <v>152</v>
      </c>
      <c r="K10" s="38">
        <v>10000000</v>
      </c>
      <c r="L10" s="38">
        <v>43508.26</v>
      </c>
      <c r="M10" s="38">
        <v>9029733.2300000004</v>
      </c>
      <c r="N10" s="38" t="s">
        <v>170</v>
      </c>
      <c r="O10" s="38" t="s">
        <v>66</v>
      </c>
      <c r="P10" s="38" t="s">
        <v>143</v>
      </c>
      <c r="Q10" s="38">
        <v>4.13</v>
      </c>
      <c r="R10" s="38"/>
      <c r="S10" s="38" t="s">
        <v>154</v>
      </c>
      <c r="T10" s="38">
        <v>9073241.4900000002</v>
      </c>
      <c r="U10" s="38" t="s">
        <v>148</v>
      </c>
      <c r="V10" s="38" t="s">
        <v>149</v>
      </c>
      <c r="W10" s="38"/>
      <c r="X10" s="38"/>
      <c r="Y10" s="38"/>
      <c r="Z10" s="38"/>
      <c r="AA10" s="38" t="s">
        <v>148</v>
      </c>
      <c r="AB10" s="38" t="s">
        <v>149</v>
      </c>
      <c r="AC10" s="38"/>
    </row>
  </sheetData>
  <phoneticPr fontId="11" type="noConversion"/>
  <conditionalFormatting sqref="N2:N6">
    <cfRule type="duplicateValues" dxfId="0" priority="1" stopIfTrue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zoomScale="85" zoomScaleNormal="85" workbookViewId="0">
      <selection activeCell="D37" sqref="D37"/>
    </sheetView>
  </sheetViews>
  <sheetFormatPr defaultRowHeight="13.5" x14ac:dyDescent="0.15"/>
  <cols>
    <col min="1" max="1" width="12.5" bestFit="1" customWidth="1"/>
    <col min="2" max="2" width="15.625" bestFit="1" customWidth="1"/>
    <col min="3" max="3" width="21.5" bestFit="1" customWidth="1"/>
    <col min="4" max="4" width="54.375" bestFit="1" customWidth="1"/>
    <col min="5" max="5" width="17.125" bestFit="1" customWidth="1"/>
    <col min="6" max="6" width="63.375" bestFit="1" customWidth="1"/>
    <col min="7" max="7" width="31.5" bestFit="1" customWidth="1"/>
  </cols>
  <sheetData>
    <row r="1" spans="1:8" ht="15.75" customHeight="1" x14ac:dyDescent="0.15">
      <c r="A1" t="s">
        <v>28</v>
      </c>
      <c r="B1" t="s">
        <v>29</v>
      </c>
      <c r="C1" t="s">
        <v>49</v>
      </c>
      <c r="D1" t="s">
        <v>30</v>
      </c>
      <c r="E1" t="s">
        <v>31</v>
      </c>
      <c r="F1" t="s">
        <v>32</v>
      </c>
      <c r="G1" t="s">
        <v>33</v>
      </c>
      <c r="H1" t="s">
        <v>51</v>
      </c>
    </row>
    <row r="2" spans="1:8" ht="15.75" x14ac:dyDescent="0.15">
      <c r="A2" t="s">
        <v>34</v>
      </c>
      <c r="B2" t="s">
        <v>35</v>
      </c>
      <c r="C2" t="str">
        <f>A2&amp;"_"&amp;B2</f>
        <v>ANZ_Pairoff</v>
      </c>
      <c r="D2" t="s">
        <v>36</v>
      </c>
      <c r="E2" t="s">
        <v>37</v>
      </c>
      <c r="F2" t="s">
        <v>38</v>
      </c>
      <c r="G2" s="25" t="s">
        <v>39</v>
      </c>
      <c r="H2" s="4" t="s">
        <v>50</v>
      </c>
    </row>
    <row r="3" spans="1:8" ht="15.75" x14ac:dyDescent="0.15">
      <c r="A3" t="s">
        <v>34</v>
      </c>
      <c r="B3" t="s">
        <v>57</v>
      </c>
      <c r="C3" t="str">
        <f>A3&amp;"_"&amp;B3</f>
        <v>ANZ_Forward_Margin</v>
      </c>
      <c r="D3" t="s">
        <v>52</v>
      </c>
      <c r="E3" t="s">
        <v>53</v>
      </c>
      <c r="F3" t="s">
        <v>54</v>
      </c>
      <c r="G3" s="26" t="s">
        <v>55</v>
      </c>
    </row>
    <row r="4" spans="1:8" x14ac:dyDescent="0.15">
      <c r="A4" t="s">
        <v>59</v>
      </c>
      <c r="B4" t="s">
        <v>58</v>
      </c>
      <c r="C4" t="str">
        <f>A4&amp;"_"&amp;B4</f>
        <v>ANZ_Repo_Margin</v>
      </c>
    </row>
    <row r="5" spans="1:8" x14ac:dyDescent="0.15">
      <c r="A5" t="s">
        <v>60</v>
      </c>
      <c r="B5" t="s">
        <v>56</v>
      </c>
      <c r="C5" t="str">
        <f>A5&amp;"_"&amp;B5</f>
        <v>BNP_Forward_Margin</v>
      </c>
      <c r="D5" t="s">
        <v>61</v>
      </c>
      <c r="E5" t="s">
        <v>62</v>
      </c>
      <c r="F5" t="s">
        <v>63</v>
      </c>
      <c r="G5" s="27" t="s">
        <v>64</v>
      </c>
      <c r="H5" t="s">
        <v>65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"/>
  <sheetViews>
    <sheetView zoomScale="80" zoomScaleNormal="70" workbookViewId="0">
      <pane ySplit="1" topLeftCell="A2" activePane="bottomLeft" state="frozen"/>
      <selection pane="bottomLeft" activeCell="B7" sqref="B7"/>
    </sheetView>
  </sheetViews>
  <sheetFormatPr defaultColWidth="8.875" defaultRowHeight="14.25" x14ac:dyDescent="0.15"/>
  <cols>
    <col min="1" max="1" width="23.875" style="5" customWidth="1"/>
    <col min="2" max="2" width="17.875" style="5" bestFit="1" customWidth="1"/>
    <col min="3" max="3" width="17.75" style="5" customWidth="1"/>
    <col min="4" max="4" width="39" style="5" customWidth="1"/>
    <col min="5" max="5" width="118" style="5" bestFit="1" customWidth="1"/>
    <col min="6" max="6" width="16.125" style="5" bestFit="1" customWidth="1"/>
    <col min="7" max="7" width="53.5" style="5" bestFit="1" customWidth="1"/>
    <col min="8" max="8" width="14.375" style="5" bestFit="1" customWidth="1"/>
    <col min="9" max="9" width="105.125" style="5" bestFit="1" customWidth="1"/>
    <col min="10" max="16384" width="8.875" style="5"/>
  </cols>
  <sheetData>
    <row r="1" spans="1:9" s="40" customFormat="1" ht="15" x14ac:dyDescent="0.15">
      <c r="A1" s="40" t="s">
        <v>8</v>
      </c>
      <c r="B1" s="40" t="s">
        <v>9</v>
      </c>
      <c r="C1" s="40" t="s">
        <v>191</v>
      </c>
      <c r="D1" s="40" t="s">
        <v>171</v>
      </c>
      <c r="E1" s="40" t="s">
        <v>25</v>
      </c>
      <c r="F1" s="40" t="s">
        <v>26</v>
      </c>
      <c r="G1" s="40" t="s">
        <v>27</v>
      </c>
      <c r="H1" s="40" t="s">
        <v>75</v>
      </c>
      <c r="I1" s="5" t="s">
        <v>89</v>
      </c>
    </row>
    <row r="2" spans="1:9" x14ac:dyDescent="0.15">
      <c r="B2" s="5" t="s">
        <v>194</v>
      </c>
      <c r="C2" s="5" t="s">
        <v>172</v>
      </c>
      <c r="D2" s="35" t="s">
        <v>179</v>
      </c>
    </row>
    <row r="3" spans="1:9" x14ac:dyDescent="0.15">
      <c r="B3" s="5" t="s">
        <v>195</v>
      </c>
      <c r="C3" s="5" t="s">
        <v>172</v>
      </c>
      <c r="D3" s="35" t="s">
        <v>173</v>
      </c>
    </row>
    <row r="4" spans="1:9" x14ac:dyDescent="0.15">
      <c r="B4" s="5" t="s">
        <v>197</v>
      </c>
      <c r="C4" s="5" t="s">
        <v>172</v>
      </c>
      <c r="D4" s="35" t="s">
        <v>174</v>
      </c>
    </row>
    <row r="5" spans="1:9" x14ac:dyDescent="0.15">
      <c r="B5" s="5" t="s">
        <v>199</v>
      </c>
      <c r="C5" s="5" t="s">
        <v>172</v>
      </c>
      <c r="D5" s="35" t="s">
        <v>175</v>
      </c>
    </row>
    <row r="6" spans="1:9" x14ac:dyDescent="0.15">
      <c r="B6" s="5" t="s">
        <v>201</v>
      </c>
      <c r="C6" s="5" t="s">
        <v>172</v>
      </c>
      <c r="D6" s="35" t="s">
        <v>176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"/>
  <sheetViews>
    <sheetView topLeftCell="D1" workbookViewId="0">
      <selection activeCell="Q25" sqref="Q25"/>
    </sheetView>
  </sheetViews>
  <sheetFormatPr defaultRowHeight="13.5" x14ac:dyDescent="0.15"/>
  <cols>
    <col min="1" max="1" width="14.375" bestFit="1" customWidth="1"/>
    <col min="2" max="2" width="24.125" bestFit="1" customWidth="1"/>
    <col min="3" max="3" width="24.625" bestFit="1" customWidth="1"/>
    <col min="4" max="4" width="17.625" bestFit="1" customWidth="1"/>
    <col min="5" max="5" width="19" bestFit="1" customWidth="1"/>
    <col min="6" max="6" width="16.875" bestFit="1" customWidth="1"/>
    <col min="7" max="7" width="16.875" customWidth="1"/>
    <col min="10" max="10" width="12.875" bestFit="1" customWidth="1"/>
    <col min="11" max="11" width="15.625" bestFit="1" customWidth="1"/>
  </cols>
  <sheetData>
    <row r="1" spans="1:11" ht="14.25" thickBot="1" x14ac:dyDescent="0.2">
      <c r="A1" s="16" t="s">
        <v>12</v>
      </c>
      <c r="B1" s="17" t="s">
        <v>13</v>
      </c>
      <c r="C1" s="18" t="s">
        <v>14</v>
      </c>
      <c r="D1" s="19" t="s">
        <v>15</v>
      </c>
      <c r="E1" s="20" t="s">
        <v>16</v>
      </c>
      <c r="F1" s="21" t="s">
        <v>17</v>
      </c>
      <c r="G1" s="28" t="s">
        <v>91</v>
      </c>
      <c r="H1" s="22" t="s">
        <v>19</v>
      </c>
      <c r="J1" s="16" t="s">
        <v>40</v>
      </c>
      <c r="K1" s="16" t="s">
        <v>29</v>
      </c>
    </row>
    <row r="2" spans="1:11" x14ac:dyDescent="0.15">
      <c r="A2" s="12" t="s">
        <v>10</v>
      </c>
      <c r="B2" s="12" t="s">
        <v>76</v>
      </c>
      <c r="C2" s="11" t="s">
        <v>70</v>
      </c>
      <c r="D2" s="10" t="s">
        <v>81</v>
      </c>
      <c r="E2" s="13" t="s">
        <v>82</v>
      </c>
      <c r="F2" s="14" t="s">
        <v>67</v>
      </c>
      <c r="G2" s="29" t="s">
        <v>92</v>
      </c>
      <c r="H2" s="15" t="s">
        <v>18</v>
      </c>
      <c r="J2" t="s">
        <v>41</v>
      </c>
      <c r="K2" t="s">
        <v>42</v>
      </c>
    </row>
    <row r="3" spans="1:11" x14ac:dyDescent="0.15">
      <c r="A3" s="11" t="s">
        <v>73</v>
      </c>
      <c r="B3" s="12" t="s">
        <v>77</v>
      </c>
      <c r="C3" s="11" t="s">
        <v>71</v>
      </c>
      <c r="D3" s="10" t="s">
        <v>80</v>
      </c>
      <c r="E3" s="13" t="s">
        <v>88</v>
      </c>
      <c r="F3" s="14" t="s">
        <v>68</v>
      </c>
      <c r="H3" s="15" t="s">
        <v>20</v>
      </c>
      <c r="J3" t="s">
        <v>43</v>
      </c>
      <c r="K3" t="s">
        <v>57</v>
      </c>
    </row>
    <row r="4" spans="1:11" x14ac:dyDescent="0.15">
      <c r="A4" s="10" t="s">
        <v>11</v>
      </c>
      <c r="B4" s="12" t="s">
        <v>78</v>
      </c>
      <c r="C4" s="11" t="s">
        <v>72</v>
      </c>
      <c r="E4" s="13" t="s">
        <v>86</v>
      </c>
      <c r="F4" s="14" t="s">
        <v>69</v>
      </c>
      <c r="H4" s="15" t="s">
        <v>21</v>
      </c>
      <c r="J4" t="s">
        <v>44</v>
      </c>
      <c r="K4" t="s">
        <v>58</v>
      </c>
    </row>
    <row r="5" spans="1:11" x14ac:dyDescent="0.15">
      <c r="A5" s="13" t="s">
        <v>22</v>
      </c>
      <c r="B5" s="12" t="s">
        <v>79</v>
      </c>
      <c r="C5" s="11" t="s">
        <v>74</v>
      </c>
      <c r="E5" s="13" t="s">
        <v>87</v>
      </c>
      <c r="J5" t="s">
        <v>45</v>
      </c>
    </row>
    <row r="6" spans="1:11" x14ac:dyDescent="0.15">
      <c r="A6" s="14" t="s">
        <v>23</v>
      </c>
      <c r="B6" s="12" t="s">
        <v>95</v>
      </c>
      <c r="C6" s="11" t="s">
        <v>96</v>
      </c>
      <c r="E6" s="13" t="s">
        <v>83</v>
      </c>
      <c r="J6" t="s">
        <v>46</v>
      </c>
    </row>
    <row r="7" spans="1:11" x14ac:dyDescent="0.15">
      <c r="A7" s="29" t="s">
        <v>91</v>
      </c>
      <c r="C7" t="s">
        <v>97</v>
      </c>
      <c r="E7" s="13" t="s">
        <v>84</v>
      </c>
      <c r="J7" t="s">
        <v>47</v>
      </c>
    </row>
    <row r="8" spans="1:11" x14ac:dyDescent="0.15">
      <c r="E8" s="13" t="s">
        <v>85</v>
      </c>
      <c r="J8" t="s">
        <v>48</v>
      </c>
    </row>
    <row r="9" spans="1:11" x14ac:dyDescent="0.15">
      <c r="E9" s="13" t="s">
        <v>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Template</vt:lpstr>
      <vt:lpstr>TBLT</vt:lpstr>
      <vt:lpstr>Beneficiary_Account</vt:lpstr>
      <vt:lpstr>Debit_Account</vt:lpstr>
      <vt:lpstr>Ticker</vt:lpstr>
      <vt:lpstr>Bankcomm</vt:lpstr>
      <vt:lpstr>CCBA</vt:lpstr>
      <vt:lpstr>Chop1</vt:lpstr>
      <vt:lpstr>CMB</vt:lpstr>
      <vt:lpstr>HSBC</vt:lpstr>
      <vt:lpstr>ICBC_Mandate</vt:lpstr>
      <vt:lpstr>ICBC_Others</vt:lpstr>
      <vt:lpstr>Template!Print_Area</vt:lpstr>
      <vt:lpstr>Signer1</vt:lpstr>
      <vt:lpstr>Signer2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Zhang</dc:creator>
  <cp:lastModifiedBy>User</cp:lastModifiedBy>
  <cp:lastPrinted>2023-03-17T09:49:53Z</cp:lastPrinted>
  <dcterms:created xsi:type="dcterms:W3CDTF">2019-05-31T07:42:31Z</dcterms:created>
  <dcterms:modified xsi:type="dcterms:W3CDTF">2026-05-01T12:46:40Z</dcterms:modified>
</cp:coreProperties>
</file>